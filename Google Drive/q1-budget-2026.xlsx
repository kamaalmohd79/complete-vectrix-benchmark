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C0000"/>
      <sz val="10"/>
    </font>
    <font>
      <name val="Arial"/>
      <i val="1"/>
      <color rgb="00CC0000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4A5568"/>
      </patternFill>
    </fill>
    <fill>
      <patternFill patternType="solid">
        <fgColor rgb="00F7F9FF"/>
      </patternFill>
    </fill>
    <fill>
      <patternFill patternType="solid">
        <fgColor rgb="00FFE8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164" fontId="5" fillId="4" borderId="1" applyAlignment="1" pivotButton="0" quotePrefix="0" xfId="0">
      <alignment horizontal="center" wrapText="1"/>
    </xf>
    <xf numFmtId="164" fontId="5" fillId="0" borderId="1" pivotButton="0" quotePrefix="0" xfId="0"/>
    <xf numFmtId="0" fontId="5" fillId="0" borderId="1" applyAlignment="1" pivotButton="0" quotePrefix="0" xfId="0">
      <alignment horizontal="left" wrapText="1"/>
    </xf>
    <xf numFmtId="164" fontId="5" fillId="0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left" wrapText="1"/>
    </xf>
    <xf numFmtId="0" fontId="5" fillId="5" borderId="1" applyAlignment="1" pivotButton="0" quotePrefix="0" xfId="0">
      <alignment horizontal="left" wrapText="1"/>
    </xf>
    <xf numFmtId="164" fontId="7" fillId="5" borderId="1" pivotButton="0" quotePrefix="0" xfId="0"/>
    <xf numFmtId="0" fontId="8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164" fontId="9" fillId="0" borderId="1" pivotButton="0" quotePrefix="0" xfId="0"/>
    <xf numFmtId="0" fontId="6" fillId="4" borderId="1" applyAlignment="1" pivotButton="0" quotePrefix="0" xfId="0">
      <alignment horizontal="left" wrapText="1"/>
    </xf>
    <xf numFmtId="0" fontId="6" fillId="6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left" wrapText="1"/>
    </xf>
    <xf numFmtId="164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48" customWidth="1" min="5" max="5"/>
    <col width="20" customWidth="1" min="6" max="6"/>
  </cols>
  <sheetData>
    <row r="1" ht="28" customHeight="1">
      <c r="A1" s="1" t="inlineStr">
        <is>
          <t>Vectrix Labs — Q1 2026 Budget</t>
        </is>
      </c>
    </row>
    <row r="2">
      <c r="A2" s="2" t="inlineStr">
        <is>
          <t>Owner: Nina Kowalski  |  Last updated: January 6, 2026  |  Status: Draft</t>
        </is>
      </c>
    </row>
    <row r="4">
      <c r="A4" s="3" t="inlineStr">
        <is>
          <t>PAYROLL — Salaries</t>
        </is>
      </c>
    </row>
    <row r="5">
      <c r="A5" s="4" t="inlineStr">
        <is>
          <t>Employee</t>
        </is>
      </c>
      <c r="B5" s="4" t="inlineStr">
        <is>
          <t>Role</t>
        </is>
      </c>
      <c r="C5" s="4" t="inlineStr">
        <is>
          <t>Annual Salary</t>
        </is>
      </c>
      <c r="D5" s="4" t="inlineStr">
        <is>
          <t>Monthly Salary</t>
        </is>
      </c>
      <c r="E5" s="4" t="inlineStr">
        <is>
          <t>Q1 Total (3 mo)</t>
        </is>
      </c>
      <c r="F5" s="4" t="inlineStr">
        <is>
          <t>Notes</t>
        </is>
      </c>
    </row>
    <row r="6">
      <c r="A6" s="5" t="inlineStr">
        <is>
          <t>Priya Chandran</t>
        </is>
      </c>
      <c r="B6" s="5" t="inlineStr">
        <is>
          <t>CEO/Co-founder</t>
        </is>
      </c>
      <c r="C6" s="6" t="n">
        <v>165000</v>
      </c>
      <c r="D6" s="7">
        <f>C6/12</f>
        <v/>
      </c>
      <c r="E6" s="7">
        <f>D6*3</f>
        <v/>
      </c>
      <c r="F6" s="5" t="inlineStr">
        <is>
          <t>Full-time</t>
        </is>
      </c>
    </row>
    <row r="7">
      <c r="A7" s="8" t="inlineStr">
        <is>
          <t>Marcus Webb</t>
        </is>
      </c>
      <c r="B7" s="8" t="inlineStr">
        <is>
          <t>CTO/Co-founder</t>
        </is>
      </c>
      <c r="C7" s="9" t="n">
        <v>155000</v>
      </c>
      <c r="D7" s="7">
        <f>C7/12</f>
        <v/>
      </c>
      <c r="E7" s="7">
        <f>D7*3</f>
        <v/>
      </c>
      <c r="F7" s="8" t="inlineStr">
        <is>
          <t>Full-time</t>
        </is>
      </c>
    </row>
    <row r="8">
      <c r="A8" s="5" t="inlineStr">
        <is>
          <t>Liam Nakamura</t>
        </is>
      </c>
      <c r="B8" s="5" t="inlineStr">
        <is>
          <t>Senior Backend Engineer</t>
        </is>
      </c>
      <c r="C8" s="6" t="n">
        <v>140000</v>
      </c>
      <c r="D8" s="7">
        <f>C8/12</f>
        <v/>
      </c>
      <c r="E8" s="7">
        <f>D8*3</f>
        <v/>
      </c>
      <c r="F8" s="5" t="inlineStr">
        <is>
          <t>Full-time</t>
        </is>
      </c>
    </row>
    <row r="9">
      <c r="A9" s="8" t="inlineStr">
        <is>
          <t>Sofia Gutierrez</t>
        </is>
      </c>
      <c r="B9" s="8" t="inlineStr">
        <is>
          <t>Frontend Engineer</t>
        </is>
      </c>
      <c r="C9" s="9" t="n">
        <v>128000</v>
      </c>
      <c r="D9" s="7">
        <f>C9/12</f>
        <v/>
      </c>
      <c r="E9" s="7">
        <f>D9*3</f>
        <v/>
      </c>
      <c r="F9" s="8" t="inlineStr">
        <is>
          <t>Full-time</t>
        </is>
      </c>
    </row>
    <row r="10">
      <c r="A10" s="5" t="inlineStr">
        <is>
          <t>Jordan Okafor</t>
        </is>
      </c>
      <c r="B10" s="5" t="inlineStr">
        <is>
          <t>DevOps / Infra</t>
        </is>
      </c>
      <c r="C10" s="6" t="n">
        <v>132000</v>
      </c>
      <c r="D10" s="7">
        <f>C10/12</f>
        <v/>
      </c>
      <c r="E10" s="7">
        <f>D10*3</f>
        <v/>
      </c>
      <c r="F10" s="5" t="inlineStr">
        <is>
          <t>Full-time</t>
        </is>
      </c>
    </row>
    <row r="11">
      <c r="A11" s="8" t="inlineStr">
        <is>
          <t>Tessa Moreno</t>
        </is>
      </c>
      <c r="B11" s="8" t="inlineStr">
        <is>
          <t>Head of Sales</t>
        </is>
      </c>
      <c r="C11" s="9" t="n">
        <v>120000</v>
      </c>
      <c r="D11" s="7">
        <f>C11/12</f>
        <v/>
      </c>
      <c r="E11" s="7">
        <f>D11*3</f>
        <v/>
      </c>
      <c r="F11" s="8" t="inlineStr">
        <is>
          <t>Full-time</t>
        </is>
      </c>
    </row>
    <row r="12">
      <c r="A12" s="5" t="inlineStr">
        <is>
          <t>Caleb Whitford</t>
        </is>
      </c>
      <c r="B12" s="5" t="inlineStr">
        <is>
          <t>Account Executive</t>
        </is>
      </c>
      <c r="C12" s="6" t="n">
        <v>90000</v>
      </c>
      <c r="D12" s="7">
        <f>C12/12</f>
        <v/>
      </c>
      <c r="E12" s="7">
        <f>D12*3</f>
        <v/>
      </c>
      <c r="F12" s="5" t="inlineStr">
        <is>
          <t>Full-time</t>
        </is>
      </c>
    </row>
    <row r="13">
      <c r="A13" s="8" t="inlineStr">
        <is>
          <t>Dana Reeves</t>
        </is>
      </c>
      <c r="B13" s="8" t="inlineStr">
        <is>
          <t>Head of Product</t>
        </is>
      </c>
      <c r="C13" s="9" t="n">
        <v>130000</v>
      </c>
      <c r="D13" s="7">
        <f>C13/12</f>
        <v/>
      </c>
      <c r="E13" s="7">
        <f>D13*3</f>
        <v/>
      </c>
      <c r="F13" s="8" t="inlineStr">
        <is>
          <t>Full-time</t>
        </is>
      </c>
    </row>
    <row r="14">
      <c r="A14" s="5" t="inlineStr">
        <is>
          <t>Raj Sundaram</t>
        </is>
      </c>
      <c r="B14" s="5" t="inlineStr">
        <is>
          <t>Product Designer</t>
        </is>
      </c>
      <c r="C14" s="6" t="n">
        <v>95000</v>
      </c>
      <c r="D14" s="7">
        <f>C14/12</f>
        <v/>
      </c>
      <c r="E14" s="7">
        <f>D14*3</f>
        <v/>
      </c>
      <c r="F14" s="5" t="inlineStr">
        <is>
          <t>FTE from Jan 15</t>
        </is>
      </c>
    </row>
    <row r="15">
      <c r="A15" s="8" t="inlineStr">
        <is>
          <t>Nina Kowalski</t>
        </is>
      </c>
      <c r="B15" s="8" t="inlineStr">
        <is>
          <t>Ops &amp; People</t>
        </is>
      </c>
      <c r="C15" s="9" t="n">
        <v>85000</v>
      </c>
      <c r="D15" s="7">
        <f>C15/12</f>
        <v/>
      </c>
      <c r="E15" s="7">
        <f>D15*3</f>
        <v/>
      </c>
      <c r="F15" s="8" t="inlineStr">
        <is>
          <t>Full-time</t>
        </is>
      </c>
    </row>
    <row r="17">
      <c r="A17" s="10" t="inlineStr">
        <is>
          <t>TOTAL PAYROLL</t>
        </is>
      </c>
      <c r="B17" s="11" t="inlineStr"/>
      <c r="C17" s="12">
        <f>SUM(C6:C14)</f>
        <v/>
      </c>
      <c r="D17" s="12">
        <f>SUM(D6:D14)</f>
        <v/>
      </c>
      <c r="E17" s="12">
        <f>SUM(E6:E14)</f>
        <v/>
      </c>
      <c r="F17" s="13" t="inlineStr">
        <is>
          <t>⚠ Total appears off — verify row count</t>
        </is>
      </c>
    </row>
    <row r="19">
      <c r="A19" s="3" t="inlineStr">
        <is>
          <t>INFRASTRUCTURE &amp; SaaS</t>
        </is>
      </c>
    </row>
    <row r="20">
      <c r="A20" s="4" t="inlineStr">
        <is>
          <t>Vendor</t>
        </is>
      </c>
      <c r="B20" s="4" t="inlineStr">
        <is>
          <t>Service</t>
        </is>
      </c>
      <c r="C20" s="4" t="inlineStr">
        <is>
          <t>Monthly Cost</t>
        </is>
      </c>
      <c r="D20" s="4" t="inlineStr">
        <is>
          <t>Q1 Total (3 mo)</t>
        </is>
      </c>
      <c r="E20" s="4" t="inlineStr">
        <is>
          <t>Notes</t>
        </is>
      </c>
      <c r="F20" s="4" t="inlineStr"/>
    </row>
    <row r="21">
      <c r="A21" s="14" t="inlineStr">
        <is>
          <t>AWS</t>
        </is>
      </c>
      <c r="B21" s="8" t="inlineStr">
        <is>
          <t>EKS + EC2 + S3 + CF</t>
        </is>
      </c>
      <c r="C21" s="9" t="n">
        <v>1800</v>
      </c>
      <c r="D21" s="15">
        <f>C21*3</f>
        <v/>
      </c>
      <c r="E21" s="8" t="inlineStr">
        <is>
          <t>Compute, storage, CDN</t>
        </is>
      </c>
    </row>
    <row r="22">
      <c r="A22" s="16" t="inlineStr">
        <is>
          <t>Confluent Cloud</t>
        </is>
      </c>
      <c r="B22" s="5" t="inlineStr">
        <is>
          <t>Kafka</t>
        </is>
      </c>
      <c r="C22" s="6" t="n">
        <v>420</v>
      </c>
      <c r="D22" s="15">
        <f>C22*3</f>
        <v/>
      </c>
      <c r="E22" s="5" t="inlineStr">
        <is>
          <t>Annual contract: $5,040/yr signed Sep 2025</t>
        </is>
      </c>
    </row>
    <row r="23">
      <c r="A23" s="14" t="inlineStr">
        <is>
          <t>Neon</t>
        </is>
      </c>
      <c r="B23" s="8" t="inlineStr">
        <is>
          <t>PostgreSQL (primary DB)</t>
        </is>
      </c>
      <c r="C23" s="9" t="n">
        <v>89</v>
      </c>
      <c r="D23" s="15">
        <f>C23*3</f>
        <v/>
      </c>
      <c r="E23" s="8" t="inlineStr">
        <is>
          <t>Managed hosted</t>
        </is>
      </c>
    </row>
    <row r="24">
      <c r="A24" s="16" t="inlineStr">
        <is>
          <t>ClickHouse Cloud</t>
        </is>
      </c>
      <c r="B24" s="5" t="inlineStr">
        <is>
          <t>Analytics DB</t>
        </is>
      </c>
      <c r="C24" s="6" t="n">
        <v>800</v>
      </c>
      <c r="D24" s="15">
        <f>C24*3</f>
        <v/>
      </c>
      <c r="E24" s="5" t="inlineStr">
        <is>
          <t>Growing; was $396 on TimescaleDB EC2 (terminated Jan 10)</t>
        </is>
      </c>
    </row>
    <row r="25">
      <c r="A25" s="14" t="inlineStr">
        <is>
          <t>Grafana Cloud</t>
        </is>
      </c>
      <c r="B25" s="8" t="inlineStr">
        <is>
          <t>Monitoring</t>
        </is>
      </c>
      <c r="C25" s="9" t="n">
        <v>299</v>
      </c>
      <c r="D25" s="15">
        <f>C25*3</f>
        <v/>
      </c>
      <c r="E25" s="8" t="inlineStr">
        <is>
          <t>Includes PagerDuty integration</t>
        </is>
      </c>
    </row>
    <row r="26">
      <c r="A26" s="16" t="inlineStr">
        <is>
          <t>Upstash</t>
        </is>
      </c>
      <c r="B26" s="5" t="inlineStr">
        <is>
          <t>Redis</t>
        </is>
      </c>
      <c r="C26" s="6" t="n">
        <v>35</v>
      </c>
      <c r="D26" s="15">
        <f>C26*3</f>
        <v/>
      </c>
      <c r="E26" s="5" t="inlineStr">
        <is>
          <t>Serverless cache</t>
        </is>
      </c>
    </row>
    <row r="27">
      <c r="A27" s="14" t="inlineStr">
        <is>
          <t>Clerk</t>
        </is>
      </c>
      <c r="B27" s="8" t="inlineStr">
        <is>
          <t>Auth</t>
        </is>
      </c>
      <c r="C27" s="9" t="n">
        <v>49</v>
      </c>
      <c r="D27" s="15">
        <f>C27*3</f>
        <v/>
      </c>
      <c r="E27" s="8" t="inlineStr">
        <is>
          <t>Migrated from Firebase Jan 2026</t>
        </is>
      </c>
    </row>
    <row r="28">
      <c r="A28" s="16" t="inlineStr">
        <is>
          <t>Typesense Cloud</t>
        </is>
      </c>
      <c r="B28" s="5" t="inlineStr">
        <is>
          <t>Search</t>
        </is>
      </c>
      <c r="C28" s="6" t="n">
        <v>59</v>
      </c>
      <c r="D28" s="15">
        <f>C28*3</f>
        <v/>
      </c>
      <c r="E28" s="5" t="inlineStr">
        <is>
          <t>Payment failed Jan 18 — resolved</t>
        </is>
      </c>
    </row>
    <row r="29">
      <c r="A29" s="14" t="inlineStr">
        <is>
          <t>Figma</t>
        </is>
      </c>
      <c r="B29" s="8" t="inlineStr">
        <is>
          <t>Design</t>
        </is>
      </c>
      <c r="C29" s="9" t="n">
        <v>45</v>
      </c>
      <c r="D29" s="15">
        <f>C29*3</f>
        <v/>
      </c>
      <c r="E29" s="8" t="inlineStr">
        <is>
          <t>Raj + Sofia</t>
        </is>
      </c>
    </row>
    <row r="30">
      <c r="A30" s="16" t="inlineStr">
        <is>
          <t>GitHub</t>
        </is>
      </c>
      <c r="B30" s="5" t="inlineStr">
        <is>
          <t>CI/CD + code</t>
        </is>
      </c>
      <c r="C30" s="6" t="n">
        <v>84</v>
      </c>
      <c r="D30" s="15">
        <f>C30*3</f>
        <v/>
      </c>
      <c r="E30" s="5" t="inlineStr">
        <is>
          <t>Team plan</t>
        </is>
      </c>
    </row>
    <row r="31">
      <c r="A31" s="14" t="inlineStr">
        <is>
          <t>Vanta</t>
        </is>
      </c>
      <c r="B31" s="8" t="inlineStr">
        <is>
          <t>SOC 2 compliance</t>
        </is>
      </c>
      <c r="C31" s="9" t="n">
        <v>349</v>
      </c>
      <c r="D31" s="15">
        <f>C31*3</f>
        <v/>
      </c>
      <c r="E31" s="8" t="inlineStr">
        <is>
          <t>SOC 2 Type II audit scheduled Q2 2026</t>
        </is>
      </c>
    </row>
    <row r="32">
      <c r="A32" s="16" t="inlineStr">
        <is>
          <t>Other SaaS</t>
        </is>
      </c>
      <c r="B32" s="5" t="inlineStr">
        <is>
          <t>Misc tools</t>
        </is>
      </c>
      <c r="C32" s="6" t="n">
        <v>100</v>
      </c>
      <c r="D32" s="15">
        <f>C32*3</f>
        <v/>
      </c>
      <c r="E32" s="5" t="inlineStr">
        <is>
          <t>Zoom, Loom, Notion, etc.</t>
        </is>
      </c>
    </row>
    <row r="34">
      <c r="A34" s="17" t="inlineStr">
        <is>
          <t>TOTAL INFRA</t>
        </is>
      </c>
      <c r="B34" s="18" t="inlineStr"/>
      <c r="C34" s="19">
        <f>SUM(C21:C32)</f>
        <v/>
      </c>
      <c r="D34" s="19">
        <f>SUM(D21:D32)</f>
        <v/>
      </c>
    </row>
  </sheetData>
  <mergeCells count="4">
    <mergeCell ref="A19:F19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2026-03-06T19:08:52Z</dcterms:created>
  <dcterms:modified xmlns:dcterms="http://purl.org/dc/terms/" xmlns:xsi="http://www.w3.org/2001/XMLSchema-instance" xsi:type="dcterms:W3CDTF">2026-03-06T19:08:52Z</dcterms:modified>
</cp:coreProperties>
</file>